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ridh\Downloads\"/>
    </mc:Choice>
  </mc:AlternateContent>
  <xr:revisionPtr revIDLastSave="0" documentId="13_ncr:1_{1216DF44-1A36-4AF0-AFCE-CA2EAE120FF1}" xr6:coauthVersionLast="47" xr6:coauthVersionMax="47" xr10:uidLastSave="{00000000-0000-0000-0000-000000000000}"/>
  <bookViews>
    <workbookView xWindow="-105" yWindow="-16320" windowWidth="29040" windowHeight="15720" activeTab="3" xr2:uid="{00000000-000D-0000-FFFF-FFFF00000000}"/>
  </bookViews>
  <sheets>
    <sheet name="LTV_Projection" sheetId="1" r:id="rId1"/>
    <sheet name="Payback_Matrix" sheetId="2" r:id="rId2"/>
    <sheet name="Recommendations" sheetId="3" r:id="rId3"/>
    <sheet name="data_ltv" sheetId="4" r:id="rId4"/>
    <sheet name="data_spend" sheetId="5" r:id="rId5"/>
    <sheet name="data_arpdau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7" i="4" l="1"/>
  <c r="N17" i="4" a="1"/>
  <c r="N17" i="4" s="1"/>
  <c r="M17" i="4" a="1"/>
  <c r="M17" i="4" s="1"/>
  <c r="Q17" i="4" s="1"/>
  <c r="L17" i="4"/>
  <c r="S16" i="4"/>
  <c r="N16" i="4" a="1"/>
  <c r="N16" i="4" s="1"/>
  <c r="M16" i="4" a="1"/>
  <c r="M16" i="4" s="1"/>
  <c r="L16" i="4"/>
  <c r="S15" i="4"/>
  <c r="N15" i="4" a="1"/>
  <c r="N15" i="4" s="1"/>
  <c r="M15" i="4" a="1"/>
  <c r="M15" i="4" s="1"/>
  <c r="Q15" i="4" s="1"/>
  <c r="L15" i="4"/>
  <c r="S14" i="4"/>
  <c r="N14" i="4" a="1"/>
  <c r="N14" i="4" s="1"/>
  <c r="M14" i="4" a="1"/>
  <c r="M14" i="4" s="1"/>
  <c r="Q14" i="4" s="1"/>
  <c r="L14" i="4"/>
  <c r="S13" i="4"/>
  <c r="N13" i="4" a="1"/>
  <c r="N13" i="4" s="1"/>
  <c r="M13" i="4" a="1"/>
  <c r="M13" i="4" s="1"/>
  <c r="Q13" i="4" s="1"/>
  <c r="L13" i="4"/>
  <c r="S12" i="4"/>
  <c r="N12" i="4" a="1"/>
  <c r="N12" i="4" s="1"/>
  <c r="M12" i="4" a="1"/>
  <c r="M12" i="4" s="1"/>
  <c r="Q12" i="4" s="1"/>
  <c r="L12" i="4"/>
  <c r="S11" i="4"/>
  <c r="N11" i="4" a="1"/>
  <c r="N11" i="4" s="1"/>
  <c r="M11" i="4" a="1"/>
  <c r="M11" i="4" s="1"/>
  <c r="Q11" i="4" s="1"/>
  <c r="L11" i="4"/>
  <c r="S10" i="4"/>
  <c r="N10" i="4" a="1"/>
  <c r="N10" i="4" s="1"/>
  <c r="M10" i="4" a="1"/>
  <c r="M10" i="4" s="1"/>
  <c r="Q10" i="4" s="1"/>
  <c r="L10" i="4"/>
  <c r="S9" i="4"/>
  <c r="N9" i="4" a="1"/>
  <c r="N9" i="4" s="1"/>
  <c r="M9" i="4" a="1"/>
  <c r="M9" i="4" s="1"/>
  <c r="Q9" i="4" s="1"/>
  <c r="L9" i="4"/>
  <c r="S8" i="4"/>
  <c r="N8" i="4" a="1"/>
  <c r="N8" i="4" s="1"/>
  <c r="M8" i="4" a="1"/>
  <c r="M8" i="4" s="1"/>
  <c r="Q8" i="4" s="1"/>
  <c r="L8" i="4"/>
  <c r="S7" i="4"/>
  <c r="N7" i="4" a="1"/>
  <c r="N7" i="4" s="1"/>
  <c r="M7" i="4" a="1"/>
  <c r="M7" i="4" s="1"/>
  <c r="Q7" i="4" s="1"/>
  <c r="L7" i="4"/>
  <c r="S6" i="4"/>
  <c r="N6" i="4" a="1"/>
  <c r="N6" i="4" s="1"/>
  <c r="M6" i="4" a="1"/>
  <c r="M6" i="4" s="1"/>
  <c r="Q6" i="4" s="1"/>
  <c r="L6" i="4"/>
  <c r="S5" i="4"/>
  <c r="N5" i="4" a="1"/>
  <c r="N5" i="4" s="1"/>
  <c r="M5" i="4" a="1"/>
  <c r="M5" i="4" s="1"/>
  <c r="Q5" i="4" s="1"/>
  <c r="L5" i="4"/>
  <c r="S4" i="4"/>
  <c r="N4" i="4" a="1"/>
  <c r="N4" i="4" s="1"/>
  <c r="M4" i="4" a="1"/>
  <c r="M4" i="4" s="1"/>
  <c r="Q4" i="4" s="1"/>
  <c r="L4" i="4"/>
  <c r="S3" i="4"/>
  <c r="N3" i="4" a="1"/>
  <c r="N3" i="4" s="1"/>
  <c r="M3" i="4" a="1"/>
  <c r="M3" i="4" s="1"/>
  <c r="Q3" i="4" s="1"/>
  <c r="L3" i="4"/>
  <c r="S2" i="4"/>
  <c r="N2" i="4" a="1"/>
  <c r="N2" i="4" s="1"/>
  <c r="M2" i="4" a="1"/>
  <c r="M2" i="4" s="1"/>
  <c r="Q2" i="4" s="1"/>
  <c r="L2" i="4"/>
  <c r="B12" i="1"/>
  <c r="B11" i="1"/>
  <c r="B10" i="1"/>
  <c r="B9" i="1"/>
  <c r="B18" i="1" s="1" a="1"/>
  <c r="B18" i="1" s="1"/>
  <c r="B6" i="1"/>
  <c r="B5" i="1"/>
  <c r="R8" i="4" l="1"/>
  <c r="E15" i="2" s="1"/>
  <c r="E7" i="2"/>
  <c r="E5" i="2"/>
  <c r="R9" i="4"/>
  <c r="E13" i="2" s="1"/>
  <c r="R12" i="4"/>
  <c r="C12" i="2" s="1"/>
  <c r="C4" i="2"/>
  <c r="R3" i="4"/>
  <c r="B12" i="2" s="1"/>
  <c r="B4" i="2"/>
  <c r="R15" i="4"/>
  <c r="D12" i="2" s="1"/>
  <c r="D4" i="2"/>
  <c r="O3" i="4"/>
  <c r="P3" i="4"/>
  <c r="P6" i="4"/>
  <c r="O6" i="4"/>
  <c r="O9" i="4"/>
  <c r="P9" i="4"/>
  <c r="P12" i="4"/>
  <c r="O12" i="4"/>
  <c r="O15" i="4"/>
  <c r="P15" i="4"/>
  <c r="R6" i="4"/>
  <c r="B13" i="2" s="1"/>
  <c r="B5" i="2"/>
  <c r="R7" i="4"/>
  <c r="C13" i="2" s="1"/>
  <c r="C5" i="2"/>
  <c r="Q16" i="4"/>
  <c r="C7" i="2"/>
  <c r="R4" i="4"/>
  <c r="C15" i="2" s="1"/>
  <c r="C6" i="2"/>
  <c r="R10" i="4"/>
  <c r="C14" i="2" s="1"/>
  <c r="P16" i="4"/>
  <c r="O16" i="4"/>
  <c r="R13" i="4"/>
  <c r="E12" i="2" s="1"/>
  <c r="E4" i="2"/>
  <c r="P4" i="4"/>
  <c r="O4" i="4"/>
  <c r="P7" i="4"/>
  <c r="O7" i="4"/>
  <c r="P10" i="4"/>
  <c r="O10" i="4"/>
  <c r="P13" i="4"/>
  <c r="O13" i="4"/>
  <c r="R17" i="4"/>
  <c r="D14" i="2" s="1"/>
  <c r="D6" i="2"/>
  <c r="R2" i="4"/>
  <c r="B7" i="2"/>
  <c r="R5" i="4"/>
  <c r="B14" i="2" s="1"/>
  <c r="B6" i="2"/>
  <c r="E6" i="2"/>
  <c r="R11" i="4"/>
  <c r="E14" i="2" s="1"/>
  <c r="P8" i="4"/>
  <c r="O8" i="4"/>
  <c r="P17" i="4"/>
  <c r="O17" i="4"/>
  <c r="R14" i="4"/>
  <c r="D15" i="2" s="1"/>
  <c r="D7" i="2"/>
  <c r="P2" i="4"/>
  <c r="O2" i="4"/>
  <c r="P5" i="4"/>
  <c r="O5" i="4"/>
  <c r="P11" i="4"/>
  <c r="O11" i="4"/>
  <c r="P14" i="4"/>
  <c r="O14" i="4"/>
  <c r="B17" i="1" a="1"/>
  <c r="B17" i="1" s="1"/>
  <c r="B20" i="1" s="1"/>
  <c r="B23" i="1" s="1"/>
  <c r="B5" i="3" l="1"/>
  <c r="B7" i="3"/>
  <c r="B6" i="3"/>
  <c r="B4" i="3"/>
  <c r="B15" i="2"/>
  <c r="B17" i="3"/>
  <c r="B18" i="3"/>
  <c r="E10" i="1"/>
  <c r="D5" i="2"/>
  <c r="R16" i="4"/>
  <c r="D13" i="2" s="1"/>
  <c r="E11" i="1"/>
  <c r="E12" i="1"/>
  <c r="E13" i="1"/>
  <c r="E14" i="1"/>
  <c r="B21" i="1" s="1"/>
  <c r="E15" i="1"/>
  <c r="B22" i="1" s="1"/>
  <c r="E9" i="1"/>
  <c r="B8" i="3" l="1"/>
  <c r="B9" i="3" s="1"/>
  <c r="B1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Senior Analyst</author>
  </authors>
  <commentList>
    <comment ref="L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Helper columns (L-S) are computed downstream of the SQL output (A-J). Power-law fit: LTV(d) = a * d^b, fit through D7/D30/D60/D90 actuals.</t>
        </r>
      </text>
    </comment>
  </commentList>
</comments>
</file>

<file path=xl/sharedStrings.xml><?xml version="1.0" encoding="utf-8"?>
<sst xmlns="http://schemas.openxmlformats.org/spreadsheetml/2006/main" count="166" uniqueCount="69">
  <si>
    <t xml:space="preserve">EXECUTIVE RECOMMENDATIONS </t>
  </si>
  <si>
    <t>Budget reallocation summary</t>
  </si>
  <si>
    <t>Current spend on CUT combos:</t>
  </si>
  <si>
    <t>Current spend on HOLD combos:</t>
  </si>
  <si>
    <t>Current spend on TEST combos:</t>
  </si>
  <si>
    <t>Current spend on SCALE combos:</t>
  </si>
  <si>
    <t>Total UA spend (paid channels):</t>
  </si>
  <si>
    <t>% currently going to CUT decisions:</t>
  </si>
  <si>
    <t>Top 3 actions:</t>
  </si>
  <si>
    <t>Reallocation Impact (if all CUT spend redirected to HOLD/TEST):</t>
  </si>
  <si>
    <t>Avg CAC on CUT combos:</t>
  </si>
  <si>
    <t>Avg CAC on HOLD combos:</t>
  </si>
  <si>
    <t>Implied incremental installs from reallocation:</t>
  </si>
  <si>
    <t>(Negative = HOLD CAC higher than CUT CAC, but HOLD users pay back)</t>
  </si>
  <si>
    <t>LTV PROJECTION &amp; PAYBACK MODEL</t>
  </si>
  <si>
    <t>Select channel-app:</t>
  </si>
  <si>
    <t>tiktok_launchpad</t>
  </si>
  <si>
    <t>Cohort size:</t>
  </si>
  <si>
    <t>CAC (true):</t>
  </si>
  <si>
    <t>Day</t>
  </si>
  <si>
    <t xml:space="preserve">Actual LTV </t>
  </si>
  <si>
    <t>Projected LTV</t>
  </si>
  <si>
    <t>b (slope):</t>
  </si>
  <si>
    <t>a (intercept):</t>
  </si>
  <si>
    <t>Payback day:</t>
  </si>
  <si>
    <t>ROAS at D365:</t>
  </si>
  <si>
    <t>ROAS at D540:</t>
  </si>
  <si>
    <t>Verdict:</t>
  </si>
  <si>
    <t>PAYBACK MATRIX — Projected Payback Day by Channel × App</t>
  </si>
  <si>
    <t>Channel ↓ / App →</t>
  </si>
  <si>
    <t>inboxzen</t>
  </si>
  <si>
    <t>launchpad</t>
  </si>
  <si>
    <t>pingme</t>
  </si>
  <si>
    <t>wallcraft</t>
  </si>
  <si>
    <t>applovin</t>
  </si>
  <si>
    <t>google</t>
  </si>
  <si>
    <t>meta</t>
  </si>
  <si>
    <t>tiktok</t>
  </si>
  <si>
    <t>VERDICT MATRIX</t>
  </si>
  <si>
    <t>channel</t>
  </si>
  <si>
    <t>app_id</t>
  </si>
  <si>
    <t>cohort_size</t>
  </si>
  <si>
    <t>cac</t>
  </si>
  <si>
    <t>ltv_d7</t>
  </si>
  <si>
    <t>ltv_d30</t>
  </si>
  <si>
    <t>ltv_d60</t>
  </si>
  <si>
    <t>ltv_d90</t>
  </si>
  <si>
    <t>roas_d90</t>
  </si>
  <si>
    <t>payback_bucket</t>
  </si>
  <si>
    <t>combo_key</t>
  </si>
  <si>
    <t>b_slope</t>
  </si>
  <si>
    <t>a_intercept</t>
  </si>
  <si>
    <t>proj_ltv_d180</t>
  </si>
  <si>
    <t>proj_ltv_d365</t>
  </si>
  <si>
    <t>payback_day</t>
  </si>
  <si>
    <t>verdict</t>
  </si>
  <si>
    <t>total_spend</t>
  </si>
  <si>
    <t>unprofitable at D90</t>
  </si>
  <si>
    <t>true_installs</t>
  </si>
  <si>
    <t>cac_true</t>
  </si>
  <si>
    <t>total_dau_days</t>
  </si>
  <si>
    <t>arpdau_banner</t>
  </si>
  <si>
    <t>arpdau_interstitial</t>
  </si>
  <si>
    <t>arpdau_rewarded</t>
  </si>
  <si>
    <t>arpdau_subscription</t>
  </si>
  <si>
    <t>arpdau_total</t>
  </si>
  <si>
    <t>1. Cut all PingMe paid acquisition immediately (~$49K/period across 4 channels, 15% of UA budget). All paid PingMe combos project &gt;665-day payback. PingMe's $0.05 ARPDAU cannot support any meaningful CAC.It's best to keep organic only.</t>
  </si>
  <si>
    <t>2. Reallocate Meta + Google launchpad + wallcraft spend (~$107K) to better performing channels. Meta_launchpad payback is 377 days (CUT) while tiktok_launchpad is 264 days (HOLD). same app, but better economics.</t>
  </si>
  <si>
    <t>3. Cautiously TEST tiktok_inboxzen and applovin_inboxzen (~$19.5K combined) with a strict D180 ROAS &gt;= 1.0 gate. These are the only combos projecting sub-180-day payback.It's good to monitor weekly.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</si>
</sst>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0.0%"/>
    <numFmt numFmtId="166" formatCode="&quot;$&quot;#,##0.00"/>
  </numFmts>
  <fonts count="10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  <font>
      <b/>
      <sz val="14"/>
      <color theme="1"/>
      <name val="Arial Unicode MS"/>
    </font>
    <font>
      <b/>
      <sz val="11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i/>
      <sz val="9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  <xf numFmtId="0" fontId="2" fillId="0" borderId="0" xfId="0" applyFont="1"/>
    <xf numFmtId="0" fontId="5" fillId="0" borderId="0" xfId="0" applyFont="1"/>
    <xf numFmtId="1" fontId="0" fillId="0" borderId="0" xfId="0" applyNumberFormat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/>
    <xf numFmtId="0" fontId="6" fillId="0" borderId="0" xfId="0" applyFont="1"/>
    <xf numFmtId="164" fontId="0" fillId="0" borderId="0" xfId="0" applyNumberFormat="1"/>
    <xf numFmtId="165" fontId="3" fillId="0" borderId="0" xfId="0" applyNumberFormat="1" applyFont="1"/>
    <xf numFmtId="0" fontId="7" fillId="0" borderId="0" xfId="0" applyFont="1"/>
    <xf numFmtId="0" fontId="0" fillId="0" borderId="0" xfId="0" applyAlignment="1">
      <alignment vertical="top" wrapText="1"/>
    </xf>
    <xf numFmtId="166" fontId="0" fillId="0" borderId="0" xfId="0" applyNumberFormat="1"/>
    <xf numFmtId="3" fontId="0" fillId="0" borderId="0" xfId="0" applyNumberFormat="1"/>
    <xf numFmtId="0" fontId="9" fillId="0" borderId="0" xfId="0" applyFont="1"/>
    <xf numFmtId="1" fontId="3" fillId="0" borderId="0" xfId="0" applyNumberFormat="1" applyFont="1"/>
  </cellXfs>
  <cellStyles count="1">
    <cellStyle name="Normal" xfId="0" builtinId="0"/>
  </cellStyles>
  <dxfs count="4">
    <dxf>
      <fill>
        <patternFill patternType="solid">
          <fgColor rgb="FFF8696B"/>
          <bgColor rgb="FFF8696B"/>
        </patternFill>
      </fill>
    </dxf>
    <dxf>
      <fill>
        <patternFill patternType="solid">
          <fgColor rgb="FFFFEB84"/>
          <bgColor rgb="FFFFEB84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63BE7B"/>
          <bgColor rgb="FF63BE7B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baseline="0"/>
              <a:t>LTV Curve: Actual (D7–D90) and Power-Law Projection (D180–D540)</a:t>
            </a:r>
            <a:endParaRPr lang="en-US"/>
          </a:p>
        </c:rich>
      </c:tx>
      <c:layout>
        <c:manualLayout>
          <c:xMode val="edge"/>
          <c:yMode val="edge"/>
          <c:x val="0.18221234180018639"/>
          <c:y val="4.0243140282359452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Actual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LTV_Projection!$A$9:$A$12</c:f>
              <c:numCache>
                <c:formatCode>General</c:formatCode>
                <c:ptCount val="4"/>
                <c:pt idx="0">
                  <c:v>7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</c:numCache>
            </c:numRef>
          </c:xVal>
          <c:yVal>
            <c:numRef>
              <c:f>LTV_Projection!$B$9:$B$12</c:f>
              <c:numCache>
                <c:formatCode>General</c:formatCode>
                <c:ptCount val="4"/>
                <c:pt idx="0">
                  <c:v>0.16</c:v>
                </c:pt>
                <c:pt idx="1">
                  <c:v>0.44</c:v>
                </c:pt>
                <c:pt idx="2">
                  <c:v>0.72</c:v>
                </c:pt>
                <c:pt idx="3">
                  <c:v>0.97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0D-4651-8DC9-E8CF7EDDF22B}"/>
            </c:ext>
          </c:extLst>
        </c:ser>
        <c:ser>
          <c:idx val="1"/>
          <c:order val="1"/>
          <c:tx>
            <c:v>Projected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LTV_Projection!$D$9:$D$15</c:f>
              <c:numCache>
                <c:formatCode>General</c:formatCode>
                <c:ptCount val="7"/>
                <c:pt idx="0">
                  <c:v>7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180</c:v>
                </c:pt>
                <c:pt idx="5">
                  <c:v>365</c:v>
                </c:pt>
                <c:pt idx="6">
                  <c:v>540</c:v>
                </c:pt>
              </c:numCache>
            </c:numRef>
          </c:xVal>
          <c:yVal>
            <c:numRef>
              <c:f>LTV_Projection!$E$9:$E$15</c:f>
              <c:numCache>
                <c:formatCode>General</c:formatCode>
                <c:ptCount val="7"/>
                <c:pt idx="0">
                  <c:v>0.15930214456482322</c:v>
                </c:pt>
                <c:pt idx="1">
                  <c:v>0.44381174463369893</c:v>
                </c:pt>
                <c:pt idx="2">
                  <c:v>0.72300207265388328</c:v>
                </c:pt>
                <c:pt idx="3">
                  <c:v>0.96187122846123085</c:v>
                </c:pt>
                <c:pt idx="4">
                  <c:v>1.5669591898195165</c:v>
                </c:pt>
                <c:pt idx="5">
                  <c:v>2.5776026193458392</c:v>
                </c:pt>
                <c:pt idx="6">
                  <c:v>3.396063711888234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0D-4651-8DC9-E8CF7EDDF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3173840"/>
        <c:axId val="813173360"/>
      </c:scatterChart>
      <c:valAx>
        <c:axId val="813173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LTV</a:t>
                </a:r>
                <a:r>
                  <a:rPr lang="en-US" baseline="0"/>
                  <a:t> ($)</a:t>
                </a:r>
                <a:endParaRPr 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173360"/>
        <c:crosses val="autoZero"/>
        <c:crossBetween val="midCat"/>
      </c:valAx>
      <c:valAx>
        <c:axId val="81317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</a:t>
                </a:r>
                <a:r>
                  <a:rPr lang="en-US" baseline="0"/>
                  <a:t> Since Install</a:t>
                </a:r>
                <a:endParaRPr 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173840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603249</xdr:colOff>
      <xdr:row>2</xdr:row>
      <xdr:rowOff>7936</xdr:rowOff>
    </xdr:from>
    <xdr:to>
      <xdr:col>14</xdr:col>
      <xdr:colOff>15875</xdr:colOff>
      <xdr:row>19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workbookViewId="0">
      <selection activeCell="B3" sqref="B3"/>
    </sheetView>
  </sheetViews>
  <sheetFormatPr defaultRowHeight="14.5"/>
  <cols>
    <col min="1" max="1" width="50.36328125" customWidth="1"/>
    <col min="2" max="2" width="15.54296875" customWidth="1"/>
    <col min="5" max="5" width="14.6328125" customWidth="1"/>
  </cols>
  <sheetData>
    <row r="1" spans="1:5" ht="18" customHeight="1">
      <c r="A1" s="6" t="s">
        <v>14</v>
      </c>
    </row>
    <row r="3" spans="1:5">
      <c r="A3" s="3" t="s">
        <v>15</v>
      </c>
      <c r="B3" s="3" t="s">
        <v>16</v>
      </c>
    </row>
    <row r="5" spans="1:5">
      <c r="A5" s="3" t="s">
        <v>17</v>
      </c>
      <c r="B5" s="3">
        <f>INDEX(data_ltv!C:C, MATCH(B3, data_ltv!L:L, 0))</f>
        <v>7890</v>
      </c>
    </row>
    <row r="6" spans="1:5">
      <c r="A6" s="3" t="s">
        <v>18</v>
      </c>
      <c r="B6">
        <f>INDEX(data_ltv!D:D, MATCH(B3, data_ltv!L:L, 0))</f>
        <v>2.0499999999999998</v>
      </c>
    </row>
    <row r="8" spans="1:5">
      <c r="A8" s="3" t="s">
        <v>19</v>
      </c>
      <c r="B8" t="s">
        <v>20</v>
      </c>
      <c r="D8" t="s">
        <v>19</v>
      </c>
      <c r="E8" t="s">
        <v>21</v>
      </c>
    </row>
    <row r="9" spans="1:5">
      <c r="A9">
        <v>7</v>
      </c>
      <c r="B9">
        <f>INDEX(data_ltv!E:E, MATCH($B$3, data_ltv!L:L, 0))</f>
        <v>0.16</v>
      </c>
      <c r="D9">
        <v>7</v>
      </c>
      <c r="E9">
        <f t="shared" ref="E9:E15" si="0">$B$18*D9^$B$17</f>
        <v>0.15930214456482322</v>
      </c>
    </row>
    <row r="10" spans="1:5">
      <c r="A10">
        <v>30</v>
      </c>
      <c r="B10" s="3">
        <f>INDEX(data_ltv!F:F, MATCH($B$3, data_ltv!L:L, 0))</f>
        <v>0.44</v>
      </c>
      <c r="D10">
        <v>30</v>
      </c>
      <c r="E10">
        <f t="shared" si="0"/>
        <v>0.44381174463369893</v>
      </c>
    </row>
    <row r="11" spans="1:5">
      <c r="A11">
        <v>60</v>
      </c>
      <c r="B11" s="3">
        <f>INDEX(data_ltv!G:G, MATCH($B$3, data_ltv!L:L, 0))</f>
        <v>0.72</v>
      </c>
      <c r="D11">
        <v>60</v>
      </c>
      <c r="E11">
        <f t="shared" si="0"/>
        <v>0.72300207265388328</v>
      </c>
    </row>
    <row r="12" spans="1:5">
      <c r="A12">
        <v>90</v>
      </c>
      <c r="B12" s="3">
        <f>INDEX(data_ltv!H:H, MATCH($B$3, data_ltv!L:L, 0))</f>
        <v>0.97</v>
      </c>
      <c r="D12">
        <v>90</v>
      </c>
      <c r="E12">
        <f t="shared" si="0"/>
        <v>0.96187122846123085</v>
      </c>
    </row>
    <row r="13" spans="1:5">
      <c r="D13">
        <v>180</v>
      </c>
      <c r="E13">
        <f t="shared" si="0"/>
        <v>1.5669591898195165</v>
      </c>
    </row>
    <row r="14" spans="1:5">
      <c r="D14">
        <v>365</v>
      </c>
      <c r="E14">
        <f t="shared" si="0"/>
        <v>2.5776026193458392</v>
      </c>
    </row>
    <row r="15" spans="1:5">
      <c r="D15">
        <v>540</v>
      </c>
      <c r="E15">
        <f t="shared" si="0"/>
        <v>3.396063711888234</v>
      </c>
    </row>
    <row r="17" spans="1:2">
      <c r="A17" s="3" t="s">
        <v>22</v>
      </c>
      <c r="B17" s="3">
        <f t="array" ref="B17">SLOPE(LN(B9:B12), LN(A9:A12))</f>
        <v>0.7040519367834055</v>
      </c>
    </row>
    <row r="18" spans="1:2">
      <c r="A18" s="3" t="s">
        <v>23</v>
      </c>
      <c r="B18" s="3">
        <f t="array" ref="B18">EXP(INTERCEPT(LN(B9:B12), LN(A9:A12)))</f>
        <v>4.0478900781559579E-2</v>
      </c>
    </row>
    <row r="20" spans="1:2">
      <c r="A20" s="3" t="s">
        <v>24</v>
      </c>
      <c r="B20" s="3">
        <f>IF(B17&gt;0, (B6/B18)^(1/B17), "N/A")</f>
        <v>263.64642682689936</v>
      </c>
    </row>
    <row r="21" spans="1:2">
      <c r="A21" t="s">
        <v>25</v>
      </c>
      <c r="B21" s="3">
        <f>E14/B6</f>
        <v>1.2573671313882144</v>
      </c>
    </row>
    <row r="22" spans="1:2">
      <c r="A22" s="3" t="s">
        <v>26</v>
      </c>
      <c r="B22" s="3">
        <f>E15/B6</f>
        <v>1.656616444823529</v>
      </c>
    </row>
    <row r="23" spans="1:2">
      <c r="A23" t="s">
        <v>27</v>
      </c>
      <c r="B23" s="3" t="str">
        <f>IF(ISNUMBER(B20), IF(B20&lt;=90,"SCALE",IF(B20&lt;=180,"TEST",IF(B20&lt;=365,"HOLD","CUT"))), "CUT")</f>
        <v>HOLD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>
      <selection activeCell="A17" sqref="A17"/>
    </sheetView>
  </sheetViews>
  <sheetFormatPr defaultRowHeight="14.5"/>
  <cols>
    <col min="1" max="1" width="56.6328125" customWidth="1"/>
  </cols>
  <sheetData>
    <row r="1" spans="1:5">
      <c r="A1" t="s">
        <v>28</v>
      </c>
    </row>
    <row r="3" spans="1:5">
      <c r="A3" s="3" t="s">
        <v>29</v>
      </c>
      <c r="B3" s="3" t="s">
        <v>30</v>
      </c>
      <c r="C3" s="3" t="s">
        <v>31</v>
      </c>
      <c r="D3" t="s">
        <v>32</v>
      </c>
      <c r="E3" s="3" t="s">
        <v>33</v>
      </c>
    </row>
    <row r="4" spans="1:5">
      <c r="A4" s="3" t="s">
        <v>34</v>
      </c>
      <c r="B4" s="7">
        <f>INDEX(data_ltv!Q:Q, MATCH($A4&amp;"_"&amp;B$3, data_ltv!L:L, 0))</f>
        <v>171.97383024385215</v>
      </c>
      <c r="C4" s="7">
        <f>INDEX(data_ltv!Q:Q, MATCH($A4&amp;"_"&amp;C$3, data_ltv!L:L, 0))</f>
        <v>705.89068398840459</v>
      </c>
      <c r="D4" s="7">
        <f>INDEX(data_ltv!Q:Q, MATCH($A4&amp;"_"&amp;D$3, data_ltv!L:L, 0))</f>
        <v>664.73093422199565</v>
      </c>
      <c r="E4" s="7">
        <f>INDEX(data_ltv!Q:Q,MATCH($A4&amp;"_"&amp;E$3,data_ltv!L:L,0))</f>
        <v>2244.4036168319763</v>
      </c>
    </row>
    <row r="5" spans="1:5">
      <c r="A5" t="s">
        <v>35</v>
      </c>
      <c r="B5" s="7">
        <f>INDEX(data_ltv!Q:Q, MATCH($A5&amp;"_"&amp;B$3, data_ltv!L:L, 0))</f>
        <v>228.72583990645708</v>
      </c>
      <c r="C5" s="7">
        <f>INDEX(data_ltv!Q:Q, MATCH($A5&amp;"_"&amp;C$3, data_ltv!L:L, 0))</f>
        <v>329.61801468014573</v>
      </c>
      <c r="D5" s="7">
        <f>INDEX(data_ltv!Q:Q, MATCH($A5&amp;"_"&amp;D$3, data_ltv!L:L, 0))</f>
        <v>867.69954894135617</v>
      </c>
      <c r="E5" s="7">
        <f>INDEX(data_ltv!Q:Q,MATCH($A5&amp;"_"&amp;E$3,data_ltv!L:L,0))</f>
        <v>402.03673591550307</v>
      </c>
    </row>
    <row r="6" spans="1:5">
      <c r="A6" s="3" t="s">
        <v>36</v>
      </c>
      <c r="B6" s="7">
        <f>INDEX(data_ltv!Q:Q, MATCH($A6&amp;"_"&amp;B$3, data_ltv!L:L, 0))</f>
        <v>220.01767046274145</v>
      </c>
      <c r="C6" s="7">
        <f>INDEX(data_ltv!Q:Q, MATCH($A6&amp;"_"&amp;C$3, data_ltv!L:L, 0))</f>
        <v>377.28086975260862</v>
      </c>
      <c r="D6" s="7">
        <f>INDEX(data_ltv!Q:Q, MATCH($A6&amp;"_"&amp;D$3, data_ltv!L:L, 0))</f>
        <v>1140.460728670274</v>
      </c>
      <c r="E6" s="7">
        <f>INDEX(data_ltv!Q:Q,MATCH($A6&amp;"_"&amp;E$3,data_ltv!L:L,0))</f>
        <v>449.90250720317772</v>
      </c>
    </row>
    <row r="7" spans="1:5">
      <c r="A7" s="3" t="s">
        <v>37</v>
      </c>
      <c r="B7" s="7">
        <f>INDEX(data_ltv!Q:Q, MATCH($A7&amp;"_"&amp;B$3, data_ltv!L:L, 0))</f>
        <v>162.48764019732181</v>
      </c>
      <c r="C7" s="7">
        <f>INDEX(data_ltv!Q:Q, MATCH($A7&amp;"_"&amp;C$3, data_ltv!L:L, 0))</f>
        <v>263.64642682689936</v>
      </c>
      <c r="D7" s="7">
        <f>INDEX(data_ltv!Q:Q, MATCH($A7&amp;"_"&amp;D$3, data_ltv!L:L, 0))</f>
        <v>749.26972565236929</v>
      </c>
      <c r="E7" s="7">
        <f>INDEX(data_ltv!Q:Q,MATCH($A7&amp;"_"&amp;E$3,data_ltv!L:L,0))</f>
        <v>451.7257517761297</v>
      </c>
    </row>
    <row r="10" spans="1:5">
      <c r="A10" t="s">
        <v>38</v>
      </c>
    </row>
    <row r="11" spans="1:5">
      <c r="A11" s="3" t="s">
        <v>29</v>
      </c>
      <c r="B11" s="3" t="s">
        <v>30</v>
      </c>
      <c r="C11" s="3" t="s">
        <v>31</v>
      </c>
      <c r="D11" t="s">
        <v>32</v>
      </c>
      <c r="E11" s="3" t="s">
        <v>33</v>
      </c>
    </row>
    <row r="12" spans="1:5">
      <c r="A12" s="3" t="s">
        <v>34</v>
      </c>
      <c r="B12" s="8" t="str">
        <f>INDEX(data_ltv!R:R, MATCH($A12&amp;"_"&amp;B$11, data_ltv!L:L, 0))</f>
        <v>TEST</v>
      </c>
      <c r="C12" s="8" t="str">
        <f>INDEX(data_ltv!R:R, MATCH($A12&amp;"_"&amp;C$11, data_ltv!L:L, 0))</f>
        <v>CUT</v>
      </c>
      <c r="D12" s="8" t="str">
        <f>INDEX(data_ltv!R:R, MATCH($A12&amp;"_"&amp;D$11, data_ltv!L:L, 0))</f>
        <v>CUT</v>
      </c>
      <c r="E12" s="8" t="str">
        <f>INDEX(data_ltv!R:R, MATCH($A12&amp;"_"&amp;E$11, data_ltv!L:L, 0))</f>
        <v>CUT</v>
      </c>
    </row>
    <row r="13" spans="1:5">
      <c r="A13" t="s">
        <v>35</v>
      </c>
      <c r="B13" s="8" t="str">
        <f>INDEX(data_ltv!R:R, MATCH($A13&amp;"_"&amp;B$11, data_ltv!L:L, 0))</f>
        <v>HOLD</v>
      </c>
      <c r="C13" s="8" t="str">
        <f>INDEX(data_ltv!R:R, MATCH($A13&amp;"_"&amp;C$11, data_ltv!L:L, 0))</f>
        <v>HOLD</v>
      </c>
      <c r="D13" s="8" t="str">
        <f>INDEX(data_ltv!R:R, MATCH($A13&amp;"_"&amp;D$11, data_ltv!L:L, 0))</f>
        <v>CUT</v>
      </c>
      <c r="E13" s="8" t="str">
        <f>INDEX(data_ltv!R:R, MATCH($A13&amp;"_"&amp;E$11, data_ltv!L:L, 0))</f>
        <v>CUT</v>
      </c>
    </row>
    <row r="14" spans="1:5">
      <c r="A14" s="3" t="s">
        <v>36</v>
      </c>
      <c r="B14" s="8" t="str">
        <f>INDEX(data_ltv!R:R, MATCH($A14&amp;"_"&amp;B$11, data_ltv!L:L, 0))</f>
        <v>HOLD</v>
      </c>
      <c r="C14" s="8" t="str">
        <f>INDEX(data_ltv!R:R, MATCH($A14&amp;"_"&amp;C$11, data_ltv!L:L, 0))</f>
        <v>CUT</v>
      </c>
      <c r="D14" s="8" t="str">
        <f>INDEX(data_ltv!R:R, MATCH($A14&amp;"_"&amp;D$11, data_ltv!L:L, 0))</f>
        <v>CUT</v>
      </c>
      <c r="E14" s="8" t="str">
        <f>INDEX(data_ltv!R:R, MATCH($A14&amp;"_"&amp;E$11, data_ltv!L:L, 0))</f>
        <v>CUT</v>
      </c>
    </row>
    <row r="15" spans="1:5">
      <c r="A15" s="3" t="s">
        <v>37</v>
      </c>
      <c r="B15" s="8" t="str">
        <f>INDEX(data_ltv!R:R, MATCH($A15&amp;"_"&amp;B$11, data_ltv!L:L, 0))</f>
        <v>TEST</v>
      </c>
      <c r="C15" s="8" t="str">
        <f>INDEX(data_ltv!R:R, MATCH($A15&amp;"_"&amp;C$11, data_ltv!L:L, 0))</f>
        <v>HOLD</v>
      </c>
      <c r="D15" s="8" t="str">
        <f>INDEX(data_ltv!R:R, MATCH($A15&amp;"_"&amp;D$11, data_ltv!L:L, 0))</f>
        <v>CUT</v>
      </c>
      <c r="E15" s="8" t="str">
        <f>INDEX(data_ltv!R:R, MATCH($A15&amp;"_"&amp;E$11, data_ltv!L:L, 0))</f>
        <v>CUT</v>
      </c>
    </row>
  </sheetData>
  <conditionalFormatting sqref="B4:E7">
    <cfRule type="colorScale" priority="1">
      <colorScale>
        <cfvo type="num" val="90"/>
        <cfvo type="num" val="200"/>
        <cfvo type="num" val="540"/>
        <color rgb="FF63BE7B"/>
        <color rgb="FFFFEB84"/>
        <color rgb="FFF8696B"/>
      </colorScale>
    </cfRule>
  </conditionalFormatting>
  <conditionalFormatting sqref="B12:E15">
    <cfRule type="cellIs" dxfId="3" priority="2" operator="equal">
      <formula>"SCALE"</formula>
    </cfRule>
    <cfRule type="cellIs" dxfId="2" priority="3" operator="equal">
      <formula>"TEST"</formula>
    </cfRule>
    <cfRule type="cellIs" dxfId="1" priority="4" operator="equal">
      <formula>"HOLD"</formula>
    </cfRule>
    <cfRule type="cellIs" dxfId="0" priority="5" operator="equal">
      <formula>"CUT"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"/>
  <sheetViews>
    <sheetView topLeftCell="A3" workbookViewId="0">
      <selection activeCell="A12" sqref="A12"/>
    </sheetView>
  </sheetViews>
  <sheetFormatPr defaultRowHeight="14.5"/>
  <cols>
    <col min="1" max="1" width="110" customWidth="1"/>
    <col min="2" max="2" width="18" customWidth="1"/>
  </cols>
  <sheetData>
    <row r="1" spans="1:2" ht="18.5" customHeight="1">
      <c r="A1" s="9" t="s">
        <v>0</v>
      </c>
    </row>
    <row r="3" spans="1:2">
      <c r="A3" s="10" t="s">
        <v>1</v>
      </c>
    </row>
    <row r="4" spans="1:2">
      <c r="A4" s="3" t="s">
        <v>2</v>
      </c>
      <c r="B4" s="11">
        <f>SUMIFS(data_ltv!S:S, data_ltv!R:R, "CUT")</f>
        <v>187378.22999999998</v>
      </c>
    </row>
    <row r="5" spans="1:2">
      <c r="A5" s="3" t="s">
        <v>3</v>
      </c>
      <c r="B5" s="11">
        <f>SUMIFS(data_ltv!S:S, data_ltv!R:R, "HOLD")</f>
        <v>123201.70000000001</v>
      </c>
    </row>
    <row r="6" spans="1:2">
      <c r="A6" s="3" t="s">
        <v>4</v>
      </c>
      <c r="B6" s="11">
        <f>SUMIFS(data_ltv!S:S, data_ltv!R:R, "TEST")</f>
        <v>19551.62</v>
      </c>
    </row>
    <row r="7" spans="1:2">
      <c r="A7" t="s">
        <v>5</v>
      </c>
      <c r="B7" s="11">
        <f>SUMIFS(data_ltv!S:S, data_ltv!R:R, "SCALE")</f>
        <v>0</v>
      </c>
    </row>
    <row r="8" spans="1:2">
      <c r="A8" t="s">
        <v>6</v>
      </c>
      <c r="B8" s="11">
        <f>SUM(B4:B7)</f>
        <v>330131.55</v>
      </c>
    </row>
    <row r="9" spans="1:2">
      <c r="A9" s="3" t="s">
        <v>7</v>
      </c>
      <c r="B9" s="12">
        <f>B4/B8</f>
        <v>0.56758655754047138</v>
      </c>
    </row>
    <row r="11" spans="1:2" ht="15.5">
      <c r="A11" s="13" t="s">
        <v>8</v>
      </c>
    </row>
    <row r="12" spans="1:2" ht="60" customHeight="1">
      <c r="A12" s="14" t="s">
        <v>66</v>
      </c>
    </row>
    <row r="13" spans="1:2" ht="60" customHeight="1">
      <c r="A13" s="14" t="s">
        <v>67</v>
      </c>
    </row>
    <row r="14" spans="1:2" ht="60" customHeight="1">
      <c r="A14" s="14" t="s">
        <v>68</v>
      </c>
    </row>
    <row r="16" spans="1:2">
      <c r="A16" s="10" t="s">
        <v>9</v>
      </c>
    </row>
    <row r="17" spans="1:2">
      <c r="A17" t="s">
        <v>10</v>
      </c>
      <c r="B17" s="15">
        <f>SUMPRODUCT(data_ltv!D2:D17, data_ltv!C2:C17, (data_ltv!R2:R17="CUT")*1) / SUMPRODUCT(data_ltv!C2:C17, (data_ltv!R2:R17="CUT")*1)</f>
        <v>2.8092243274994733</v>
      </c>
    </row>
    <row r="18" spans="1:2">
      <c r="A18" t="s">
        <v>11</v>
      </c>
      <c r="B18" s="15">
        <f>SUMPRODUCT(data_ltv!D2:D17, data_ltv!C2:C17, (data_ltv!R2:R17="HOLD")*1) / SUMPRODUCT(data_ltv!C2:C17, (data_ltv!R2:R17="HOLD")*1)</f>
        <v>2.9008722579425115</v>
      </c>
    </row>
    <row r="19" spans="1:2">
      <c r="A19" t="s">
        <v>12</v>
      </c>
      <c r="B19" s="16">
        <f>B4/B18 - B4/B17</f>
        <v>-2107.3019505126504</v>
      </c>
    </row>
    <row r="20" spans="1:2">
      <c r="A20" s="17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7"/>
  <sheetViews>
    <sheetView tabSelected="1" workbookViewId="0">
      <selection activeCell="J3" sqref="J3"/>
    </sheetView>
  </sheetViews>
  <sheetFormatPr defaultRowHeight="14.5"/>
  <cols>
    <col min="10" max="10" width="23.36328125" customWidth="1"/>
    <col min="12" max="12" width="17.36328125" customWidth="1"/>
    <col min="14" max="14" width="13.6328125" customWidth="1"/>
    <col min="15" max="16" width="12.26953125" customWidth="1"/>
    <col min="17" max="17" width="13.08984375" customWidth="1"/>
    <col min="19" max="19" width="12.7265625" customWidth="1"/>
  </cols>
  <sheetData>
    <row r="1" spans="1:19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L1" s="2" t="s">
        <v>49</v>
      </c>
      <c r="M1" s="2" t="s">
        <v>50</v>
      </c>
      <c r="N1" s="4" t="s">
        <v>51</v>
      </c>
      <c r="O1" s="4" t="s">
        <v>52</v>
      </c>
      <c r="P1" s="4" t="s">
        <v>53</v>
      </c>
      <c r="Q1" s="5" t="s">
        <v>54</v>
      </c>
      <c r="R1" s="4" t="s">
        <v>55</v>
      </c>
      <c r="S1" s="4" t="s">
        <v>56</v>
      </c>
    </row>
    <row r="2" spans="1:19">
      <c r="A2" t="s">
        <v>37</v>
      </c>
      <c r="B2" t="s">
        <v>30</v>
      </c>
      <c r="C2">
        <v>3479</v>
      </c>
      <c r="D2">
        <v>2.09</v>
      </c>
      <c r="E2">
        <v>0.12</v>
      </c>
      <c r="F2">
        <v>0.47</v>
      </c>
      <c r="G2">
        <v>0.86</v>
      </c>
      <c r="H2">
        <v>1.19</v>
      </c>
      <c r="I2">
        <v>0.56999999999999995</v>
      </c>
      <c r="J2" t="s">
        <v>57</v>
      </c>
      <c r="L2" t="str">
        <f t="shared" ref="L2:L17" si="0">A2&amp;"_"&amp;B2</f>
        <v>tiktok_inboxzen</v>
      </c>
      <c r="M2">
        <f t="array" ref="M2">SLOPE(LN(E2:H2),LN({7,30,60,90}))</f>
        <v>0.90339200746709947</v>
      </c>
      <c r="N2">
        <f t="array" ref="N2">EXP(INTERCEPT(LN(E2:H2), LN({7,30,60,90})))</f>
        <v>2.1033370343505629E-2</v>
      </c>
      <c r="O2">
        <f t="shared" ref="O2:O17" si="1">N2*180^M2</f>
        <v>2.2924719183279767</v>
      </c>
      <c r="P2">
        <f t="shared" ref="P2:P17" si="2">N2*365^M2</f>
        <v>4.3417395057821437</v>
      </c>
      <c r="Q2" s="18">
        <f t="shared" ref="Q2:Q17" si="3">IF(M2&gt;0, (D2/N2)^(1/M2), 9999)</f>
        <v>162.48764019732181</v>
      </c>
      <c r="R2" t="str">
        <f t="shared" ref="R2:R17" si="4">IF(Q2&lt;=90,"SCALE",IF(Q2&lt;=180,"TEST",IF(Q2&lt;=365,"HOLD","CUT")))</f>
        <v>TEST</v>
      </c>
      <c r="S2">
        <f>SUMIFS(data_spend!C:C, data_spend!A:A, A2, data_spend!B:B, B2)</f>
        <v>14609.21</v>
      </c>
    </row>
    <row r="3" spans="1:19">
      <c r="A3" t="s">
        <v>34</v>
      </c>
      <c r="B3" t="s">
        <v>30</v>
      </c>
      <c r="C3">
        <v>1363</v>
      </c>
      <c r="D3">
        <v>1.8</v>
      </c>
      <c r="E3">
        <v>0.09</v>
      </c>
      <c r="F3">
        <v>0.38</v>
      </c>
      <c r="G3">
        <v>0.69</v>
      </c>
      <c r="H3">
        <v>0.94</v>
      </c>
      <c r="I3">
        <v>0.52</v>
      </c>
      <c r="J3" t="s">
        <v>57</v>
      </c>
      <c r="L3" t="str">
        <f t="shared" si="0"/>
        <v>applovin_inboxzen</v>
      </c>
      <c r="M3">
        <f t="array" ref="M3">SLOPE(LN(E3:H3), LN({7,30,60,90}))</f>
        <v>0.92652162752113265</v>
      </c>
      <c r="N3">
        <f t="array" ref="N3">EXP(INTERCEPT(LN(E3:H3), LN({7,30,60,90})))</f>
        <v>1.527806232224584E-2</v>
      </c>
      <c r="O3">
        <f t="shared" si="1"/>
        <v>1.8777035579835606</v>
      </c>
      <c r="P3">
        <f t="shared" si="2"/>
        <v>3.6148312845913662</v>
      </c>
      <c r="Q3" s="18">
        <f t="shared" si="3"/>
        <v>171.97383024385215</v>
      </c>
      <c r="R3" t="str">
        <f t="shared" si="4"/>
        <v>TEST</v>
      </c>
      <c r="S3">
        <f>SUMIFS(data_spend!C:C, data_spend!A:A, A3, data_spend!B:B, B3)</f>
        <v>4942.41</v>
      </c>
    </row>
    <row r="4" spans="1:19">
      <c r="A4" t="s">
        <v>37</v>
      </c>
      <c r="B4" t="s">
        <v>31</v>
      </c>
      <c r="C4">
        <v>7890</v>
      </c>
      <c r="D4">
        <v>2.0499999999999998</v>
      </c>
      <c r="E4">
        <v>0.16</v>
      </c>
      <c r="F4">
        <v>0.44</v>
      </c>
      <c r="G4">
        <v>0.72</v>
      </c>
      <c r="H4">
        <v>0.97</v>
      </c>
      <c r="I4">
        <v>0.47</v>
      </c>
      <c r="J4" t="s">
        <v>57</v>
      </c>
      <c r="L4" t="str">
        <f t="shared" si="0"/>
        <v>tiktok_launchpad</v>
      </c>
      <c r="M4">
        <f t="array" ref="M4">SLOPE(LN(E4:H4), LN({7,30,60,90}))</f>
        <v>0.7040519367834055</v>
      </c>
      <c r="N4">
        <f t="array" ref="N4">EXP(INTERCEPT(LN(E4:H4), LN({7,30,60,90})))</f>
        <v>4.0478900781559579E-2</v>
      </c>
      <c r="O4">
        <f t="shared" si="1"/>
        <v>1.5669591898195165</v>
      </c>
      <c r="P4">
        <f t="shared" si="2"/>
        <v>2.5776026193458392</v>
      </c>
      <c r="Q4" s="18">
        <f t="shared" si="3"/>
        <v>263.64642682689936</v>
      </c>
      <c r="R4" t="str">
        <f t="shared" si="4"/>
        <v>HOLD</v>
      </c>
      <c r="S4">
        <f>SUMIFS(data_spend!C:C, data_spend!A:A, A4, data_spend!B:B, B4)</f>
        <v>32501.590000000011</v>
      </c>
    </row>
    <row r="5" spans="1:19">
      <c r="A5" t="s">
        <v>36</v>
      </c>
      <c r="B5" t="s">
        <v>30</v>
      </c>
      <c r="C5">
        <v>4175</v>
      </c>
      <c r="D5">
        <v>3.2</v>
      </c>
      <c r="E5">
        <v>0.15</v>
      </c>
      <c r="F5">
        <v>0.56999999999999995</v>
      </c>
      <c r="G5">
        <v>1.02</v>
      </c>
      <c r="H5">
        <v>1.42</v>
      </c>
      <c r="I5">
        <v>0.44</v>
      </c>
      <c r="J5" t="s">
        <v>57</v>
      </c>
      <c r="L5" t="str">
        <f t="shared" si="0"/>
        <v>meta_inboxzen</v>
      </c>
      <c r="M5">
        <f t="array" ref="M5">SLOPE(LN(E5:H5), LN({7,30,60,90}))</f>
        <v>0.88312321977618025</v>
      </c>
      <c r="N5">
        <f t="array" ref="N5">EXP(INTERCEPT(LN(E5:H5), LN({7,30,60,90})))</f>
        <v>2.731940987297328E-2</v>
      </c>
      <c r="O5">
        <f t="shared" si="1"/>
        <v>2.6801236439320064</v>
      </c>
      <c r="P5">
        <f t="shared" si="2"/>
        <v>5.0037043202603204</v>
      </c>
      <c r="Q5" s="18">
        <f t="shared" si="3"/>
        <v>220.01767046274145</v>
      </c>
      <c r="R5" t="str">
        <f t="shared" si="4"/>
        <v>HOLD</v>
      </c>
      <c r="S5">
        <f>SUMIFS(data_spend!C:C, data_spend!A:A, A5, data_spend!B:B, B5)</f>
        <v>26861.89</v>
      </c>
    </row>
    <row r="6" spans="1:19">
      <c r="A6" t="s">
        <v>35</v>
      </c>
      <c r="B6" t="s">
        <v>30</v>
      </c>
      <c r="C6">
        <v>2778</v>
      </c>
      <c r="D6">
        <v>3.53</v>
      </c>
      <c r="E6">
        <v>0.16</v>
      </c>
      <c r="F6">
        <v>0.61</v>
      </c>
      <c r="G6">
        <v>1.0900000000000001</v>
      </c>
      <c r="H6">
        <v>1.51</v>
      </c>
      <c r="I6">
        <v>0.43</v>
      </c>
      <c r="J6" t="s">
        <v>57</v>
      </c>
      <c r="L6" t="str">
        <f t="shared" si="0"/>
        <v>google_inboxzen</v>
      </c>
      <c r="M6">
        <f t="array" ref="M6">SLOPE(LN(E6:H6), LN({7,30,60,90}))</f>
        <v>0.88251738688269199</v>
      </c>
      <c r="N6">
        <f t="array" ref="N6">EXP(INTERCEPT(LN(E6:H6), LN({7,30,60,90})))</f>
        <v>2.9217159595933059E-2</v>
      </c>
      <c r="O6">
        <f t="shared" si="1"/>
        <v>2.8572957207394172</v>
      </c>
      <c r="P6">
        <f t="shared" si="2"/>
        <v>5.3321946648884087</v>
      </c>
      <c r="Q6" s="18">
        <f t="shared" si="3"/>
        <v>228.72583990645708</v>
      </c>
      <c r="R6" t="str">
        <f t="shared" si="4"/>
        <v>HOLD</v>
      </c>
      <c r="S6">
        <f>SUMIFS(data_spend!C:C, data_spend!A:A, A6, data_spend!B:B, B6)</f>
        <v>19690.48</v>
      </c>
    </row>
    <row r="7" spans="1:19">
      <c r="A7" t="s">
        <v>35</v>
      </c>
      <c r="B7" t="s">
        <v>31</v>
      </c>
      <c r="C7">
        <v>6309</v>
      </c>
      <c r="D7">
        <v>3.49</v>
      </c>
      <c r="E7">
        <v>0.23</v>
      </c>
      <c r="F7">
        <v>0.63</v>
      </c>
      <c r="G7">
        <v>1.04</v>
      </c>
      <c r="H7">
        <v>1.41</v>
      </c>
      <c r="I7">
        <v>0.4</v>
      </c>
      <c r="J7" t="s">
        <v>57</v>
      </c>
      <c r="L7" t="str">
        <f t="shared" si="0"/>
        <v>google_launchpad</v>
      </c>
      <c r="M7">
        <f t="array" ref="M7">SLOPE(LN(E7:H7), LN({7,30,60,90}))</f>
        <v>0.70791037382651834</v>
      </c>
      <c r="N7">
        <f t="array" ref="N7">EXP(INTERCEPT(LN(E7:H7), LN({7,30,60,90})))</f>
        <v>5.7583672808929648E-2</v>
      </c>
      <c r="O7">
        <f t="shared" si="1"/>
        <v>2.2742078999698592</v>
      </c>
      <c r="P7">
        <f t="shared" si="2"/>
        <v>3.7512245429776376</v>
      </c>
      <c r="Q7" s="18">
        <f t="shared" si="3"/>
        <v>329.61801468014573</v>
      </c>
      <c r="R7" t="str">
        <f t="shared" si="4"/>
        <v>HOLD</v>
      </c>
      <c r="S7">
        <f>SUMIFS(data_spend!C:C, data_spend!A:A, A7, data_spend!B:B, B7)</f>
        <v>44147.740000000013</v>
      </c>
    </row>
    <row r="8" spans="1:19">
      <c r="A8" t="s">
        <v>37</v>
      </c>
      <c r="B8" t="s">
        <v>33</v>
      </c>
      <c r="C8">
        <v>3479</v>
      </c>
      <c r="D8">
        <v>2.12</v>
      </c>
      <c r="E8">
        <v>0.18</v>
      </c>
      <c r="F8">
        <v>0.42</v>
      </c>
      <c r="G8">
        <v>0.64</v>
      </c>
      <c r="H8">
        <v>0.82</v>
      </c>
      <c r="I8">
        <v>0.39</v>
      </c>
      <c r="J8" t="s">
        <v>57</v>
      </c>
      <c r="L8" t="str">
        <f t="shared" si="0"/>
        <v>tiktok_wallcraft</v>
      </c>
      <c r="M8">
        <f t="array" ref="M8">SLOPE(LN(E8:H8), LN({7,30,60,90}))</f>
        <v>0.59296718879736865</v>
      </c>
      <c r="N8">
        <f t="array" ref="N8">EXP(INTERCEPT(LN(E8:H8), LN({7,30,60,90})))</f>
        <v>5.6504389233365426E-2</v>
      </c>
      <c r="O8">
        <f t="shared" si="1"/>
        <v>1.2285272166606156</v>
      </c>
      <c r="P8">
        <f t="shared" si="2"/>
        <v>1.868262005072612</v>
      </c>
      <c r="Q8" s="18">
        <f t="shared" si="3"/>
        <v>451.7257517761297</v>
      </c>
      <c r="R8" t="str">
        <f t="shared" si="4"/>
        <v>CUT</v>
      </c>
      <c r="S8">
        <f>SUMIFS(data_spend!C:C, data_spend!A:A, A8, data_spend!B:B, B8)</f>
        <v>14840.62</v>
      </c>
    </row>
    <row r="9" spans="1:19">
      <c r="A9" t="s">
        <v>35</v>
      </c>
      <c r="B9" t="s">
        <v>33</v>
      </c>
      <c r="C9">
        <v>2778</v>
      </c>
      <c r="D9">
        <v>3.51</v>
      </c>
      <c r="E9">
        <v>0.27</v>
      </c>
      <c r="F9">
        <v>0.66</v>
      </c>
      <c r="G9">
        <v>1.04</v>
      </c>
      <c r="H9">
        <v>1.38</v>
      </c>
      <c r="I9">
        <v>0.39</v>
      </c>
      <c r="J9" t="s">
        <v>57</v>
      </c>
      <c r="L9" t="str">
        <f t="shared" si="0"/>
        <v>google_wallcraft</v>
      </c>
      <c r="M9">
        <f t="array" ref="M9">SLOPE(LN(E9:H9), LN({7,30,60,90}))</f>
        <v>0.63574560276317937</v>
      </c>
      <c r="N9">
        <f t="array" ref="N9">EXP(INTERCEPT(LN(E9:H9), LN({7,30,60,90})))</f>
        <v>7.7563361907928202E-2</v>
      </c>
      <c r="O9">
        <f t="shared" si="1"/>
        <v>2.1058925249963649</v>
      </c>
      <c r="P9">
        <f t="shared" si="2"/>
        <v>3.3008291538217809</v>
      </c>
      <c r="Q9" s="18">
        <f t="shared" si="3"/>
        <v>402.03673591550307</v>
      </c>
      <c r="R9" t="str">
        <f t="shared" si="4"/>
        <v>CUT</v>
      </c>
      <c r="S9">
        <f>SUMIFS(data_spend!C:C, data_spend!A:A, A9, data_spend!B:B, B9)</f>
        <v>19590.28</v>
      </c>
    </row>
    <row r="10" spans="1:19">
      <c r="A10" t="s">
        <v>36</v>
      </c>
      <c r="B10" t="s">
        <v>31</v>
      </c>
      <c r="C10">
        <v>9471</v>
      </c>
      <c r="D10">
        <v>3.16</v>
      </c>
      <c r="E10">
        <v>0.2</v>
      </c>
      <c r="F10">
        <v>0.54</v>
      </c>
      <c r="G10">
        <v>0.88</v>
      </c>
      <c r="H10">
        <v>1.18</v>
      </c>
      <c r="I10">
        <v>0.37</v>
      </c>
      <c r="J10" t="s">
        <v>57</v>
      </c>
      <c r="L10" t="str">
        <f t="shared" si="0"/>
        <v>meta_launchpad</v>
      </c>
      <c r="M10">
        <f t="array" ref="M10">SLOPE(LN(E10:H10), LN({7,30,60,90}))</f>
        <v>0.69353902506528642</v>
      </c>
      <c r="N10">
        <f t="array" ref="N10">EXP(INTERCEPT(LN(E10:H10), LN({7,30,60,90})))</f>
        <v>5.1602352363589385E-2</v>
      </c>
      <c r="O10">
        <f t="shared" si="1"/>
        <v>1.8914244311467654</v>
      </c>
      <c r="P10">
        <f t="shared" si="2"/>
        <v>3.0883008084983987</v>
      </c>
      <c r="Q10" s="18">
        <f t="shared" si="3"/>
        <v>377.28086975260862</v>
      </c>
      <c r="R10" t="str">
        <f t="shared" si="4"/>
        <v>CUT</v>
      </c>
      <c r="S10">
        <f>SUMIFS(data_spend!C:C, data_spend!A:A, A10, data_spend!B:B, B10)</f>
        <v>60167.87</v>
      </c>
    </row>
    <row r="11" spans="1:19">
      <c r="A11" t="s">
        <v>36</v>
      </c>
      <c r="B11" t="s">
        <v>33</v>
      </c>
      <c r="C11">
        <v>4175</v>
      </c>
      <c r="D11">
        <v>3.24</v>
      </c>
      <c r="E11">
        <v>0.24</v>
      </c>
      <c r="F11">
        <v>0.57999999999999996</v>
      </c>
      <c r="G11">
        <v>0.91</v>
      </c>
      <c r="H11">
        <v>1.2</v>
      </c>
      <c r="I11">
        <v>0.37</v>
      </c>
      <c r="J11" t="s">
        <v>57</v>
      </c>
      <c r="L11" t="str">
        <f t="shared" si="0"/>
        <v>meta_wallcraft</v>
      </c>
      <c r="M11">
        <f t="array" ref="M11">SLOPE(LN(E11:H11), LN({7,30,60,90}))</f>
        <v>0.62755718500799473</v>
      </c>
      <c r="N11">
        <f t="array" ref="N11">EXP(INTERCEPT(LN(E11:H11), LN({7,30,60,90})))</f>
        <v>7.0074738731960559E-2</v>
      </c>
      <c r="O11">
        <f t="shared" si="1"/>
        <v>1.8233664182042375</v>
      </c>
      <c r="P11">
        <f t="shared" si="2"/>
        <v>2.8414942685616955</v>
      </c>
      <c r="Q11" s="18">
        <f t="shared" si="3"/>
        <v>449.90250720317772</v>
      </c>
      <c r="R11" t="str">
        <f t="shared" si="4"/>
        <v>CUT</v>
      </c>
      <c r="S11">
        <f>SUMIFS(data_spend!C:C, data_spend!A:A, A11, data_spend!B:B, B11)</f>
        <v>27146.11</v>
      </c>
    </row>
    <row r="12" spans="1:19">
      <c r="A12" t="s">
        <v>34</v>
      </c>
      <c r="B12" t="s">
        <v>31</v>
      </c>
      <c r="C12">
        <v>3134</v>
      </c>
      <c r="D12">
        <v>1.82</v>
      </c>
      <c r="E12">
        <v>0.12</v>
      </c>
      <c r="F12">
        <v>0.27</v>
      </c>
      <c r="G12">
        <v>0.42</v>
      </c>
      <c r="H12">
        <v>0.55000000000000004</v>
      </c>
      <c r="I12">
        <v>0.3</v>
      </c>
      <c r="J12" t="s">
        <v>57</v>
      </c>
      <c r="L12" t="str">
        <f t="shared" si="0"/>
        <v>applovin_launchpad</v>
      </c>
      <c r="M12">
        <f t="array" ref="M12">SLOPE(LN(E12:H12), LN({7,30,60,90}))</f>
        <v>0.59287058326121789</v>
      </c>
      <c r="N12">
        <f t="array" ref="N12">EXP(INTERCEPT(LN(E12:H12), LN({7,30,60,90})))</f>
        <v>3.7251070198513897E-2</v>
      </c>
      <c r="O12">
        <f t="shared" si="1"/>
        <v>0.80951235184532133</v>
      </c>
      <c r="P12">
        <f t="shared" si="2"/>
        <v>1.2309681588606396</v>
      </c>
      <c r="Q12" s="18">
        <f t="shared" si="3"/>
        <v>705.89068398840459</v>
      </c>
      <c r="R12" t="str">
        <f t="shared" si="4"/>
        <v>CUT</v>
      </c>
      <c r="S12">
        <f>SUMIFS(data_spend!C:C, data_spend!A:A, A12, data_spend!B:B, B12)</f>
        <v>11464.01</v>
      </c>
    </row>
    <row r="13" spans="1:19">
      <c r="A13" t="s">
        <v>34</v>
      </c>
      <c r="B13" t="s">
        <v>33</v>
      </c>
      <c r="C13">
        <v>1363</v>
      </c>
      <c r="D13">
        <v>1.81</v>
      </c>
      <c r="E13">
        <v>0.12</v>
      </c>
      <c r="F13">
        <v>0.23</v>
      </c>
      <c r="G13">
        <v>0.33</v>
      </c>
      <c r="H13">
        <v>0.4</v>
      </c>
      <c r="I13">
        <v>0.22</v>
      </c>
      <c r="J13" t="s">
        <v>57</v>
      </c>
      <c r="L13" t="str">
        <f t="shared" si="0"/>
        <v>applovin_wallcraft</v>
      </c>
      <c r="M13">
        <f t="array" ref="M13">SLOPE(LN(E13:H13), LN({7,30,60,90}))</f>
        <v>0.47201769243271019</v>
      </c>
      <c r="N13">
        <f t="array" ref="N13">EXP(INTERCEPT(LN(E13:H13), LN({7,30,60,90})))</f>
        <v>4.7413239855488044E-2</v>
      </c>
      <c r="O13">
        <f t="shared" si="1"/>
        <v>0.55008291488661154</v>
      </c>
      <c r="P13">
        <f t="shared" si="2"/>
        <v>0.76797520384903717</v>
      </c>
      <c r="Q13" s="18">
        <f t="shared" si="3"/>
        <v>2244.4036168319763</v>
      </c>
      <c r="R13" t="str">
        <f t="shared" si="4"/>
        <v>CUT</v>
      </c>
      <c r="S13">
        <f>SUMIFS(data_spend!C:C, data_spend!A:A, A13, data_spend!B:B, B13)</f>
        <v>4975.9599999999973</v>
      </c>
    </row>
    <row r="14" spans="1:19">
      <c r="A14" t="s">
        <v>37</v>
      </c>
      <c r="B14" t="s">
        <v>32</v>
      </c>
      <c r="C14">
        <v>2597</v>
      </c>
      <c r="D14">
        <v>2.0299999999999998</v>
      </c>
      <c r="E14">
        <v>7.0000000000000007E-2</v>
      </c>
      <c r="F14">
        <v>0.2</v>
      </c>
      <c r="G14">
        <v>0.33</v>
      </c>
      <c r="H14">
        <v>0.44</v>
      </c>
      <c r="I14">
        <v>0.22</v>
      </c>
      <c r="J14" t="s">
        <v>57</v>
      </c>
      <c r="L14" t="str">
        <f t="shared" si="0"/>
        <v>tiktok_pingme</v>
      </c>
      <c r="M14">
        <f t="array" ref="M14">SLOPE(LN(E14:H14), LN({7,30,60,90}))</f>
        <v>0.72041384100071515</v>
      </c>
      <c r="N14">
        <f t="array" ref="N14">EXP(INTERCEPT(LN(E14:H14), LN({7,30,60,90})))</f>
        <v>1.724117664323311E-2</v>
      </c>
      <c r="O14">
        <f t="shared" si="1"/>
        <v>0.72660173293423402</v>
      </c>
      <c r="P14">
        <f t="shared" si="2"/>
        <v>1.2091443354849851</v>
      </c>
      <c r="Q14" s="18">
        <f t="shared" si="3"/>
        <v>749.26972565236929</v>
      </c>
      <c r="R14" t="str">
        <f t="shared" si="4"/>
        <v>CUT</v>
      </c>
      <c r="S14">
        <f>SUMIFS(data_spend!C:C, data_spend!A:A, A14, data_spend!B:B, B14)</f>
        <v>10621.53</v>
      </c>
    </row>
    <row r="15" spans="1:19">
      <c r="A15" t="s">
        <v>34</v>
      </c>
      <c r="B15" t="s">
        <v>32</v>
      </c>
      <c r="C15">
        <v>1011</v>
      </c>
      <c r="D15">
        <v>1.79</v>
      </c>
      <c r="E15">
        <v>0.06</v>
      </c>
      <c r="F15">
        <v>0.18</v>
      </c>
      <c r="G15">
        <v>0.3</v>
      </c>
      <c r="H15">
        <v>0.4</v>
      </c>
      <c r="I15">
        <v>0.22</v>
      </c>
      <c r="J15" t="s">
        <v>57</v>
      </c>
      <c r="L15" t="str">
        <f t="shared" si="0"/>
        <v>applovin_pingme</v>
      </c>
      <c r="M15">
        <f t="array" ref="M15">SLOPE(LN(E15:H15), LN({7,30,60,90}))</f>
        <v>0.74461976418991838</v>
      </c>
      <c r="N15">
        <f t="array" ref="N15">EXP(INTERCEPT(LN(E15:H15), LN({7,30,60,90})))</f>
        <v>1.415973462687627E-2</v>
      </c>
      <c r="O15">
        <f t="shared" si="1"/>
        <v>0.67666793165606476</v>
      </c>
      <c r="P15">
        <f t="shared" si="2"/>
        <v>1.1454839875407521</v>
      </c>
      <c r="Q15" s="18">
        <f t="shared" si="3"/>
        <v>664.73093422199565</v>
      </c>
      <c r="R15" t="str">
        <f t="shared" si="4"/>
        <v>CUT</v>
      </c>
      <c r="S15">
        <f>SUMIFS(data_spend!C:C, data_spend!A:A, A15, data_spend!B:B, B15)</f>
        <v>3632.3799999999969</v>
      </c>
    </row>
    <row r="16" spans="1:19">
      <c r="A16" t="s">
        <v>35</v>
      </c>
      <c r="B16" t="s">
        <v>32</v>
      </c>
      <c r="C16">
        <v>2072</v>
      </c>
      <c r="D16">
        <v>3.52</v>
      </c>
      <c r="E16">
        <v>0.11</v>
      </c>
      <c r="F16">
        <v>0.3</v>
      </c>
      <c r="G16">
        <v>0.51</v>
      </c>
      <c r="H16">
        <v>0.7</v>
      </c>
      <c r="I16">
        <v>0.2</v>
      </c>
      <c r="J16" t="s">
        <v>57</v>
      </c>
      <c r="L16" t="str">
        <f t="shared" si="0"/>
        <v>google_pingme</v>
      </c>
      <c r="M16">
        <f t="array" ref="M16">SLOPE(LN(E16:H16), LN({7,30,60,90}))</f>
        <v>0.72207165951615448</v>
      </c>
      <c r="N16">
        <f t="array" ref="N16">EXP(INTERCEPT(LN(E16:H16), LN({7,30,60,90})))</f>
        <v>2.6596801681322096E-2</v>
      </c>
      <c r="O16">
        <f t="shared" si="1"/>
        <v>1.1305708285120741</v>
      </c>
      <c r="P16">
        <f t="shared" si="2"/>
        <v>1.8835991066485438</v>
      </c>
      <c r="Q16" s="18">
        <f t="shared" si="3"/>
        <v>867.69954894135617</v>
      </c>
      <c r="R16" t="str">
        <f t="shared" si="4"/>
        <v>CUT</v>
      </c>
      <c r="S16">
        <f>SUMIFS(data_spend!C:C, data_spend!A:A, A16, data_spend!B:B, B16)</f>
        <v>14621.33</v>
      </c>
    </row>
    <row r="17" spans="1:19">
      <c r="A17" t="s">
        <v>36</v>
      </c>
      <c r="B17" t="s">
        <v>32</v>
      </c>
      <c r="C17">
        <v>3117</v>
      </c>
      <c r="D17">
        <v>3.25</v>
      </c>
      <c r="E17">
        <v>0.1</v>
      </c>
      <c r="F17">
        <v>0.26</v>
      </c>
      <c r="G17">
        <v>0.43</v>
      </c>
      <c r="H17">
        <v>0.57999999999999996</v>
      </c>
      <c r="I17">
        <v>0.18</v>
      </c>
      <c r="J17" t="s">
        <v>57</v>
      </c>
      <c r="L17" t="str">
        <f t="shared" si="0"/>
        <v>meta_pingme</v>
      </c>
      <c r="M17">
        <f t="array" ref="M17">SLOPE(LN(E17:H17), LN({7,30,60,90}))</f>
        <v>0.68608095016408066</v>
      </c>
      <c r="N17">
        <f t="array" ref="N17">EXP(INTERCEPT(LN(E17:H17), LN({7,30,60,90})))</f>
        <v>2.5970408443158333E-2</v>
      </c>
      <c r="O17">
        <f t="shared" si="1"/>
        <v>0.91575285880310864</v>
      </c>
      <c r="P17">
        <f t="shared" si="2"/>
        <v>1.4873702924528462</v>
      </c>
      <c r="Q17" s="18">
        <f t="shared" si="3"/>
        <v>1140.460728670274</v>
      </c>
      <c r="R17" t="str">
        <f t="shared" si="4"/>
        <v>CUT</v>
      </c>
      <c r="S17">
        <f>SUMIFS(data_spend!C:C, data_spend!A:A, A17, data_spend!B:B, B17)</f>
        <v>20318.139999999981</v>
      </c>
    </row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7"/>
  <sheetViews>
    <sheetView workbookViewId="0"/>
  </sheetViews>
  <sheetFormatPr defaultRowHeight="14.5"/>
  <sheetData>
    <row r="1" spans="1:5">
      <c r="A1" s="1" t="s">
        <v>39</v>
      </c>
      <c r="B1" s="1" t="s">
        <v>40</v>
      </c>
      <c r="C1" s="1" t="s">
        <v>56</v>
      </c>
      <c r="D1" s="1" t="s">
        <v>58</v>
      </c>
      <c r="E1" s="1" t="s">
        <v>59</v>
      </c>
    </row>
    <row r="2" spans="1:5">
      <c r="A2" t="s">
        <v>34</v>
      </c>
      <c r="B2" t="s">
        <v>30</v>
      </c>
      <c r="C2">
        <v>4942.41</v>
      </c>
      <c r="D2">
        <v>2742</v>
      </c>
      <c r="E2">
        <v>1.8</v>
      </c>
    </row>
    <row r="3" spans="1:5">
      <c r="A3" t="s">
        <v>34</v>
      </c>
      <c r="B3" t="s">
        <v>31</v>
      </c>
      <c r="C3">
        <v>11464.01</v>
      </c>
      <c r="D3">
        <v>6285</v>
      </c>
      <c r="E3">
        <v>1.82</v>
      </c>
    </row>
    <row r="4" spans="1:5">
      <c r="A4" t="s">
        <v>34</v>
      </c>
      <c r="B4" t="s">
        <v>32</v>
      </c>
      <c r="C4">
        <v>3632.3799999999969</v>
      </c>
      <c r="D4">
        <v>2032</v>
      </c>
      <c r="E4">
        <v>1.79</v>
      </c>
    </row>
    <row r="5" spans="1:5">
      <c r="A5" t="s">
        <v>34</v>
      </c>
      <c r="B5" t="s">
        <v>33</v>
      </c>
      <c r="C5">
        <v>4975.9599999999973</v>
      </c>
      <c r="D5">
        <v>2742</v>
      </c>
      <c r="E5">
        <v>1.81</v>
      </c>
    </row>
    <row r="6" spans="1:5">
      <c r="A6" t="s">
        <v>35</v>
      </c>
      <c r="B6" t="s">
        <v>30</v>
      </c>
      <c r="C6">
        <v>19690.48</v>
      </c>
      <c r="D6">
        <v>5578</v>
      </c>
      <c r="E6">
        <v>3.53</v>
      </c>
    </row>
    <row r="7" spans="1:5">
      <c r="A7" t="s">
        <v>35</v>
      </c>
      <c r="B7" t="s">
        <v>31</v>
      </c>
      <c r="C7">
        <v>44147.740000000013</v>
      </c>
      <c r="D7">
        <v>12661</v>
      </c>
      <c r="E7">
        <v>3.49</v>
      </c>
    </row>
    <row r="8" spans="1:5">
      <c r="A8" t="s">
        <v>35</v>
      </c>
      <c r="B8" t="s">
        <v>32</v>
      </c>
      <c r="C8">
        <v>14621.33</v>
      </c>
      <c r="D8">
        <v>4158</v>
      </c>
      <c r="E8">
        <v>3.52</v>
      </c>
    </row>
    <row r="9" spans="1:5">
      <c r="A9" t="s">
        <v>35</v>
      </c>
      <c r="B9" t="s">
        <v>33</v>
      </c>
      <c r="C9">
        <v>19590.28</v>
      </c>
      <c r="D9">
        <v>5578</v>
      </c>
      <c r="E9">
        <v>3.51</v>
      </c>
    </row>
    <row r="10" spans="1:5">
      <c r="A10" t="s">
        <v>36</v>
      </c>
      <c r="B10" t="s">
        <v>30</v>
      </c>
      <c r="C10">
        <v>26861.89</v>
      </c>
      <c r="D10">
        <v>8388</v>
      </c>
      <c r="E10">
        <v>3.2</v>
      </c>
    </row>
    <row r="11" spans="1:5">
      <c r="A11" t="s">
        <v>36</v>
      </c>
      <c r="B11" t="s">
        <v>31</v>
      </c>
      <c r="C11">
        <v>60167.87</v>
      </c>
      <c r="D11">
        <v>19019</v>
      </c>
      <c r="E11">
        <v>3.16</v>
      </c>
    </row>
    <row r="12" spans="1:5">
      <c r="A12" t="s">
        <v>36</v>
      </c>
      <c r="B12" t="s">
        <v>32</v>
      </c>
      <c r="C12">
        <v>20318.139999999981</v>
      </c>
      <c r="D12">
        <v>6261</v>
      </c>
      <c r="E12">
        <v>3.25</v>
      </c>
    </row>
    <row r="13" spans="1:5">
      <c r="A13" t="s">
        <v>36</v>
      </c>
      <c r="B13" t="s">
        <v>33</v>
      </c>
      <c r="C13">
        <v>27146.11</v>
      </c>
      <c r="D13">
        <v>8388</v>
      </c>
      <c r="E13">
        <v>3.24</v>
      </c>
    </row>
    <row r="14" spans="1:5">
      <c r="A14" t="s">
        <v>37</v>
      </c>
      <c r="B14" t="s">
        <v>30</v>
      </c>
      <c r="C14">
        <v>14609.21</v>
      </c>
      <c r="D14">
        <v>6987</v>
      </c>
      <c r="E14">
        <v>2.09</v>
      </c>
    </row>
    <row r="15" spans="1:5">
      <c r="A15" t="s">
        <v>37</v>
      </c>
      <c r="B15" t="s">
        <v>31</v>
      </c>
      <c r="C15">
        <v>32501.590000000011</v>
      </c>
      <c r="D15">
        <v>15844</v>
      </c>
      <c r="E15">
        <v>2.0499999999999998</v>
      </c>
    </row>
    <row r="16" spans="1:5">
      <c r="A16" t="s">
        <v>37</v>
      </c>
      <c r="B16" t="s">
        <v>32</v>
      </c>
      <c r="C16">
        <v>10621.53</v>
      </c>
      <c r="D16">
        <v>5220</v>
      </c>
      <c r="E16">
        <v>2.0299999999999998</v>
      </c>
    </row>
    <row r="17" spans="1:5">
      <c r="A17" t="s">
        <v>37</v>
      </c>
      <c r="B17" t="s">
        <v>33</v>
      </c>
      <c r="C17">
        <v>14840.62</v>
      </c>
      <c r="D17">
        <v>6987</v>
      </c>
      <c r="E17">
        <v>2.12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"/>
  <sheetViews>
    <sheetView workbookViewId="0"/>
  </sheetViews>
  <sheetFormatPr defaultRowHeight="14.5"/>
  <sheetData>
    <row r="1" spans="1:7">
      <c r="A1" s="1" t="s">
        <v>40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</row>
    <row r="2" spans="1:7">
      <c r="A2" t="s">
        <v>30</v>
      </c>
      <c r="B2">
        <v>305540</v>
      </c>
      <c r="C2">
        <v>1.4200000000000001E-2</v>
      </c>
      <c r="D2">
        <v>2.1100000000000001E-2</v>
      </c>
      <c r="E2">
        <v>1.0699999999999999E-2</v>
      </c>
      <c r="F2">
        <v>7.6499999999999999E-2</v>
      </c>
      <c r="G2">
        <v>0.12239999999999999</v>
      </c>
    </row>
    <row r="3" spans="1:7">
      <c r="A3" t="s">
        <v>31</v>
      </c>
      <c r="B3">
        <v>694409</v>
      </c>
      <c r="C3">
        <v>2.5499999999999998E-2</v>
      </c>
      <c r="D3">
        <v>3.78E-2</v>
      </c>
      <c r="E3">
        <v>1.9099999999999999E-2</v>
      </c>
      <c r="F3">
        <v>2.7099999999999999E-2</v>
      </c>
      <c r="G3">
        <v>0.1096</v>
      </c>
    </row>
    <row r="4" spans="1:7">
      <c r="A4" t="s">
        <v>33</v>
      </c>
      <c r="B4">
        <v>304868</v>
      </c>
      <c r="C4">
        <v>3.1199999999999999E-2</v>
      </c>
      <c r="D4">
        <v>4.6199999999999998E-2</v>
      </c>
      <c r="E4">
        <v>2.3400000000000001E-2</v>
      </c>
      <c r="F4">
        <v>8.2000000000000007E-3</v>
      </c>
      <c r="G4">
        <v>0.109</v>
      </c>
    </row>
    <row r="5" spans="1:7">
      <c r="A5" t="s">
        <v>32</v>
      </c>
      <c r="B5">
        <v>228288</v>
      </c>
      <c r="C5">
        <v>1.1299999999999999E-2</v>
      </c>
      <c r="D5">
        <v>1.6799999999999999E-2</v>
      </c>
      <c r="E5">
        <v>8.5000000000000006E-3</v>
      </c>
      <c r="F5">
        <v>1.6199999999999999E-2</v>
      </c>
      <c r="G5">
        <v>5.2900000000000003E-2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LTV_Projection</vt:lpstr>
      <vt:lpstr>Payback_Matrix</vt:lpstr>
      <vt:lpstr>Recommendations</vt:lpstr>
      <vt:lpstr>data_ltv</vt:lpstr>
      <vt:lpstr>data_spend</vt:lpstr>
      <vt:lpstr>data_arpdau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Srid Sreedhar</cp:lastModifiedBy>
  <dcterms:created xsi:type="dcterms:W3CDTF">2026-05-10T23:38:05Z</dcterms:created>
  <dcterms:modified xsi:type="dcterms:W3CDTF">2026-05-11T02:15:09Z</dcterms:modified>
</cp:coreProperties>
</file>